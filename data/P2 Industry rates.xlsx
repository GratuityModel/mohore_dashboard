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ji\Desktop\MOHRE_Project\Data\"/>
    </mc:Choice>
  </mc:AlternateContent>
  <xr:revisionPtr revIDLastSave="0" documentId="13_ncr:1_{1DDAA189-A76B-4F1E-90F9-F13F71013963}" xr6:coauthVersionLast="47" xr6:coauthVersionMax="47" xr10:uidLastSave="{00000000-0000-0000-0000-000000000000}"/>
  <bookViews>
    <workbookView xWindow="-120" yWindow="-120" windowWidth="29040" windowHeight="15720" xr2:uid="{A5EBF965-9257-4241-A0EF-144CFBDA0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C23" i="1"/>
  <c r="H22" i="1"/>
  <c r="C22" i="1"/>
  <c r="H21" i="1"/>
  <c r="C21" i="1"/>
  <c r="H20" i="1"/>
  <c r="C20" i="1"/>
  <c r="H19" i="1"/>
  <c r="C19" i="1"/>
  <c r="H18" i="1"/>
  <c r="C18" i="1"/>
  <c r="H17" i="1"/>
  <c r="C17" i="1"/>
  <c r="H16" i="1"/>
  <c r="C16" i="1"/>
  <c r="H15" i="1"/>
  <c r="C15" i="1"/>
  <c r="H14" i="1"/>
  <c r="C14" i="1"/>
  <c r="H13" i="1"/>
  <c r="C13" i="1"/>
  <c r="H12" i="1"/>
  <c r="C12" i="1"/>
  <c r="H11" i="1"/>
  <c r="C11" i="1"/>
  <c r="H10" i="1"/>
  <c r="C10" i="1"/>
  <c r="H9" i="1"/>
  <c r="C9" i="1"/>
  <c r="H8" i="1"/>
  <c r="C8" i="1"/>
  <c r="H7" i="1"/>
  <c r="C7" i="1"/>
  <c r="H6" i="1"/>
  <c r="C6" i="1"/>
  <c r="H5" i="1"/>
  <c r="C5" i="1"/>
  <c r="H4" i="1"/>
  <c r="C4" i="1"/>
  <c r="H3" i="1"/>
  <c r="C3" i="1"/>
  <c r="H2" i="1"/>
  <c r="C2" i="1"/>
</calcChain>
</file>

<file path=xl/sharedStrings.xml><?xml version="1.0" encoding="utf-8"?>
<sst xmlns="http://schemas.openxmlformats.org/spreadsheetml/2006/main" count="54" uniqueCount="54">
  <si>
    <t>Industry Code</t>
  </si>
  <si>
    <t>Industry Description</t>
  </si>
  <si>
    <t>Emp Growth %</t>
  </si>
  <si>
    <t>Attrition %</t>
  </si>
  <si>
    <t>Replacement Hiring %</t>
  </si>
  <si>
    <t>Expansion Hiring %</t>
  </si>
  <si>
    <t>Total Hiring %</t>
  </si>
  <si>
    <t>Net Churn %</t>
  </si>
  <si>
    <t>Salary Growth %</t>
  </si>
  <si>
    <t>A</t>
  </si>
  <si>
    <t>Agriculture and fishing</t>
  </si>
  <si>
    <t>B</t>
  </si>
  <si>
    <t>Mining and quarrying</t>
  </si>
  <si>
    <t>C</t>
  </si>
  <si>
    <t>Manufacturing</t>
  </si>
  <si>
    <t>D</t>
  </si>
  <si>
    <t>Electricity and gas supply</t>
  </si>
  <si>
    <t>E</t>
  </si>
  <si>
    <t>Water supply, sewerage and waste</t>
  </si>
  <si>
    <t>F</t>
  </si>
  <si>
    <t>Construction</t>
  </si>
  <si>
    <t>G</t>
  </si>
  <si>
    <t>Wholesale and retail</t>
  </si>
  <si>
    <t>H</t>
  </si>
  <si>
    <t>Transportation and storage</t>
  </si>
  <si>
    <t>I</t>
  </si>
  <si>
    <t>Accommodation and food services</t>
  </si>
  <si>
    <t>J</t>
  </si>
  <si>
    <t>Information and communication</t>
  </si>
  <si>
    <t>K</t>
  </si>
  <si>
    <t>Financial activities</t>
  </si>
  <si>
    <t>L</t>
  </si>
  <si>
    <t>Real estate activities</t>
  </si>
  <si>
    <t>M</t>
  </si>
  <si>
    <t>Professional, scientific and technical activities</t>
  </si>
  <si>
    <t>N</t>
  </si>
  <si>
    <t>Administrative services activities</t>
  </si>
  <si>
    <t>O</t>
  </si>
  <si>
    <t>Public administration and defence</t>
  </si>
  <si>
    <t>P</t>
  </si>
  <si>
    <t>Education</t>
  </si>
  <si>
    <t>Q</t>
  </si>
  <si>
    <t>Health and social work</t>
  </si>
  <si>
    <t>R</t>
  </si>
  <si>
    <t>Arts, entertainment and recreation</t>
  </si>
  <si>
    <t>S</t>
  </si>
  <si>
    <t>Other service activities</t>
  </si>
  <si>
    <t>T</t>
  </si>
  <si>
    <t>Activities of households</t>
  </si>
  <si>
    <t>U</t>
  </si>
  <si>
    <t>Activities of organizations and bodies</t>
  </si>
  <si>
    <t>Other</t>
  </si>
  <si>
    <t>Industry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</si>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</sst>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ndivisible"/>
    </font>
    <font>
      <b/>
      <sz val="11"/>
      <color theme="1"/>
      <name val="Indivisible"/>
    </font>
    <font>
      <b/>
      <sz val="9"/>
      <color rgb="FFFFFFFF"/>
      <name val="Indivisible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2" fontId="3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9" fontId="3" fillId="0" borderId="1" xfId="1" applyFont="1" applyBorder="1"/>
    <xf numFmtId="10" fontId="3" fillId="0" borderId="1" xfId="1" applyNumberFormat="1" applyFont="1" applyBorder="1"/>
    <xf numFmtId="165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2A35-5E92-49B2-91BC-30378F32F75E}">
  <dimension ref="A1:J23"/>
  <sheetViews>
    <sheetView tabSelected="1" workbookViewId="0">
      <selection activeCell="A24" sqref="A24"/>
    </sheetView>
  </sheetViews>
  <sheetFormatPr defaultColWidth="50" defaultRowHeight="15"/>
  <cols>
    <col min="1" max="1" width="12.140625" bestFit="1" customWidth="1"/>
    <col min="2" max="2" width="44.42578125" bestFit="1" customWidth="1"/>
    <col min="3" max="3" width="46.85546875" bestFit="1" customWidth="1"/>
    <col min="4" max="4" width="12.5703125" bestFit="1" customWidth="1"/>
    <col min="5" max="5" width="9.140625" bestFit="1" customWidth="1"/>
    <col min="6" max="6" width="18.85546875" bestFit="1" customWidth="1"/>
    <col min="7" max="7" width="16.42578125" bestFit="1" customWidth="1"/>
    <col min="8" max="8" width="11.85546875" bestFit="1" customWidth="1"/>
    <col min="9" max="9" width="10.710937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 t="s">
        <v>10</v>
      </c>
      <c r="C2" s="2" t="str">
        <f>CONCATENATE(A2,"-",B2)</f>
        <v>A-Agriculture and fishing</v>
      </c>
      <c r="D2" s="6">
        <v>1.9E-2</v>
      </c>
      <c r="E2" s="4">
        <v>15</v>
      </c>
      <c r="F2" s="4">
        <v>14.00730651607471</v>
      </c>
      <c r="G2" s="3">
        <v>2</v>
      </c>
      <c r="H2" s="4">
        <f>E2+I2</f>
        <v>15.007306516074712</v>
      </c>
      <c r="I2" s="7">
        <v>7.3065160747110003E-3</v>
      </c>
      <c r="J2" s="8">
        <v>4</v>
      </c>
    </row>
    <row r="3" spans="1:10">
      <c r="A3" s="2" t="s">
        <v>11</v>
      </c>
      <c r="B3" s="2" t="s">
        <v>12</v>
      </c>
      <c r="C3" s="2" t="str">
        <f t="shared" ref="C3:C23" si="0">CONCATENATE(A3,"-",B3)</f>
        <v>B-Mining and quarrying</v>
      </c>
      <c r="D3" s="6">
        <v>1.2E-2</v>
      </c>
      <c r="E3" s="4">
        <v>14.000000000000002</v>
      </c>
      <c r="F3" s="4">
        <v>12.504952756026185</v>
      </c>
      <c r="G3" s="3">
        <v>2.5</v>
      </c>
      <c r="H3" s="4">
        <f t="shared" ref="H3:H23" si="1">E3+I3</f>
        <v>14.004952756026185</v>
      </c>
      <c r="I3" s="7">
        <v>4.9527560261841685E-3</v>
      </c>
      <c r="J3" s="8">
        <v>3</v>
      </c>
    </row>
    <row r="4" spans="1:10">
      <c r="A4" s="2" t="s">
        <v>13</v>
      </c>
      <c r="B4" s="2" t="s">
        <v>14</v>
      </c>
      <c r="C4" s="2" t="str">
        <f t="shared" si="0"/>
        <v>C-Manufacturing</v>
      </c>
      <c r="D4" s="6">
        <v>0.04</v>
      </c>
      <c r="E4" s="4">
        <v>11</v>
      </c>
      <c r="F4" s="4">
        <v>8.5165323874112744</v>
      </c>
      <c r="G4" s="3">
        <v>3.5000000000000004</v>
      </c>
      <c r="H4" s="4">
        <f t="shared" si="1"/>
        <v>11.016532387411274</v>
      </c>
      <c r="I4" s="7">
        <v>1.6532387411274163E-2</v>
      </c>
      <c r="J4" s="8">
        <v>4.8</v>
      </c>
    </row>
    <row r="5" spans="1:10">
      <c r="A5" s="2" t="s">
        <v>15</v>
      </c>
      <c r="B5" s="2" t="s">
        <v>16</v>
      </c>
      <c r="C5" s="2" t="str">
        <f t="shared" si="0"/>
        <v>D-Electricity and gas supply</v>
      </c>
      <c r="D5" s="6">
        <v>0.04</v>
      </c>
      <c r="E5" s="4">
        <v>12</v>
      </c>
      <c r="F5" s="4">
        <v>10.511066097956078</v>
      </c>
      <c r="G5" s="3">
        <v>2.5</v>
      </c>
      <c r="H5" s="4">
        <f t="shared" si="1"/>
        <v>12.011066097956078</v>
      </c>
      <c r="I5" s="7">
        <v>1.1066097956078824E-2</v>
      </c>
      <c r="J5" s="8">
        <v>5.3</v>
      </c>
    </row>
    <row r="6" spans="1:10">
      <c r="A6" s="2" t="s">
        <v>17</v>
      </c>
      <c r="B6" s="2" t="s">
        <v>18</v>
      </c>
      <c r="C6" s="2" t="str">
        <f t="shared" si="0"/>
        <v>E-Water supply, sewerage and waste</v>
      </c>
      <c r="D6" s="6">
        <v>3.3000000000000002E-2</v>
      </c>
      <c r="E6" s="4">
        <v>13</v>
      </c>
      <c r="F6" s="4">
        <v>11.013665798619297</v>
      </c>
      <c r="G6" s="3">
        <v>3</v>
      </c>
      <c r="H6" s="4">
        <f t="shared" si="1"/>
        <v>13.013665798619297</v>
      </c>
      <c r="I6" s="7">
        <v>1.3665798619296732E-2</v>
      </c>
      <c r="J6" s="8">
        <v>4.2</v>
      </c>
    </row>
    <row r="7" spans="1:10">
      <c r="A7" s="2" t="s">
        <v>19</v>
      </c>
      <c r="B7" s="2" t="s">
        <v>20</v>
      </c>
      <c r="C7" s="2" t="str">
        <f t="shared" si="0"/>
        <v>F-Construction</v>
      </c>
      <c r="D7" s="6">
        <v>4.2000000000000003E-2</v>
      </c>
      <c r="E7" s="4">
        <v>16</v>
      </c>
      <c r="F7" s="4">
        <v>13.514155207279387</v>
      </c>
      <c r="G7" s="3">
        <v>3.5000000000000004</v>
      </c>
      <c r="H7" s="4">
        <f t="shared" si="1"/>
        <v>16.014155207279387</v>
      </c>
      <c r="I7" s="7">
        <v>1.4155207279386239E-2</v>
      </c>
      <c r="J7" s="8">
        <v>5.0999999999999996</v>
      </c>
    </row>
    <row r="8" spans="1:10">
      <c r="A8" s="2" t="s">
        <v>21</v>
      </c>
      <c r="B8" s="2" t="s">
        <v>22</v>
      </c>
      <c r="C8" s="2" t="str">
        <f t="shared" si="0"/>
        <v>G-Wholesale and retail</v>
      </c>
      <c r="D8" s="6">
        <v>3.7999999999999999E-2</v>
      </c>
      <c r="E8" s="4">
        <v>18</v>
      </c>
      <c r="F8" s="4">
        <v>16.015764025179458</v>
      </c>
      <c r="G8" s="3">
        <v>3</v>
      </c>
      <c r="H8" s="4">
        <f t="shared" si="1"/>
        <v>18.015764025179458</v>
      </c>
      <c r="I8" s="7">
        <v>1.5764025179458185E-2</v>
      </c>
      <c r="J8" s="8">
        <v>4.5999999999999996</v>
      </c>
    </row>
    <row r="9" spans="1:10">
      <c r="A9" s="2" t="s">
        <v>23</v>
      </c>
      <c r="B9" s="2" t="s">
        <v>24</v>
      </c>
      <c r="C9" s="2" t="str">
        <f t="shared" si="0"/>
        <v>H-Transportation and storage</v>
      </c>
      <c r="D9" s="6">
        <v>5.0999999999999997E-2</v>
      </c>
      <c r="E9" s="4">
        <v>15</v>
      </c>
      <c r="F9" s="4">
        <v>11.51870751072158</v>
      </c>
      <c r="G9" s="3">
        <v>4</v>
      </c>
      <c r="H9" s="4">
        <f t="shared" si="1"/>
        <v>15.01870751072158</v>
      </c>
      <c r="I9" s="7">
        <v>1.8707510721580611E-2</v>
      </c>
      <c r="J9" s="8">
        <v>5.5</v>
      </c>
    </row>
    <row r="10" spans="1:10">
      <c r="A10" s="2" t="s">
        <v>25</v>
      </c>
      <c r="B10" s="2" t="s">
        <v>26</v>
      </c>
      <c r="C10" s="2" t="str">
        <f t="shared" si="0"/>
        <v>I-Accommodation and food services</v>
      </c>
      <c r="D10" s="6">
        <v>5.8000000000000003E-2</v>
      </c>
      <c r="E10" s="4">
        <v>18</v>
      </c>
      <c r="F10" s="4">
        <v>14.525106142688315</v>
      </c>
      <c r="G10" s="3">
        <v>4</v>
      </c>
      <c r="H10" s="4">
        <f t="shared" si="1"/>
        <v>18.025106142688315</v>
      </c>
      <c r="I10" s="7">
        <v>2.5106142688315458E-2</v>
      </c>
      <c r="J10" s="8">
        <v>5.6</v>
      </c>
    </row>
    <row r="11" spans="1:10">
      <c r="A11" s="2" t="s">
        <v>27</v>
      </c>
      <c r="B11" s="2" t="s">
        <v>28</v>
      </c>
      <c r="C11" s="2" t="str">
        <f t="shared" si="0"/>
        <v>J-Information and communication</v>
      </c>
      <c r="D11" s="6">
        <v>7.8E-2</v>
      </c>
      <c r="E11" s="4">
        <v>12</v>
      </c>
      <c r="F11" s="4">
        <v>7.0180451469033232</v>
      </c>
      <c r="G11" s="3">
        <v>5.5</v>
      </c>
      <c r="H11" s="4">
        <f t="shared" si="1"/>
        <v>12.018045146903324</v>
      </c>
      <c r="I11" s="7">
        <v>1.8045146903323372E-2</v>
      </c>
      <c r="J11" s="8">
        <v>8.3000000000000007</v>
      </c>
    </row>
    <row r="12" spans="1:10">
      <c r="A12" s="2" t="s">
        <v>29</v>
      </c>
      <c r="B12" s="2" t="s">
        <v>30</v>
      </c>
      <c r="C12" s="2" t="str">
        <f t="shared" si="0"/>
        <v>K-Financial activities</v>
      </c>
      <c r="D12" s="6">
        <v>0.05</v>
      </c>
      <c r="E12" s="4">
        <v>12</v>
      </c>
      <c r="F12" s="4">
        <v>9.0150597724774606</v>
      </c>
      <c r="G12" s="3">
        <v>3.5000000000000004</v>
      </c>
      <c r="H12" s="4">
        <f t="shared" si="1"/>
        <v>12.015059772477461</v>
      </c>
      <c r="I12" s="7">
        <v>1.505977247745971E-2</v>
      </c>
      <c r="J12" s="8">
        <v>5.8</v>
      </c>
    </row>
    <row r="13" spans="1:10">
      <c r="A13" s="2" t="s">
        <v>31</v>
      </c>
      <c r="B13" s="2" t="s">
        <v>32</v>
      </c>
      <c r="C13" s="2" t="str">
        <f t="shared" si="0"/>
        <v>L-Real estate activities</v>
      </c>
      <c r="D13" s="6">
        <v>3.5000000000000003E-2</v>
      </c>
      <c r="E13" s="4">
        <v>14.000000000000002</v>
      </c>
      <c r="F13" s="4">
        <v>12.015333615251372</v>
      </c>
      <c r="G13" s="3">
        <v>2.5</v>
      </c>
      <c r="H13" s="4">
        <f t="shared" si="1"/>
        <v>14.015333615251373</v>
      </c>
      <c r="I13" s="7">
        <v>1.5333615251372334E-2</v>
      </c>
      <c r="J13" s="8">
        <v>4.3</v>
      </c>
    </row>
    <row r="14" spans="1:10">
      <c r="A14" s="2" t="s">
        <v>33</v>
      </c>
      <c r="B14" s="2" t="s">
        <v>34</v>
      </c>
      <c r="C14" s="2" t="str">
        <f t="shared" si="0"/>
        <v>M-Professional, scientific and technical activities</v>
      </c>
      <c r="D14" s="6">
        <v>6.4000000000000001E-2</v>
      </c>
      <c r="E14" s="4">
        <v>11</v>
      </c>
      <c r="F14" s="4">
        <v>7.0265162421724412</v>
      </c>
      <c r="G14" s="3">
        <v>4.5</v>
      </c>
      <c r="H14" s="4">
        <f t="shared" si="1"/>
        <v>11.026516242172441</v>
      </c>
      <c r="I14" s="7">
        <v>2.6516242172441196E-2</v>
      </c>
      <c r="J14" s="8">
        <v>6</v>
      </c>
    </row>
    <row r="15" spans="1:10">
      <c r="A15" s="2" t="s">
        <v>35</v>
      </c>
      <c r="B15" s="2" t="s">
        <v>36</v>
      </c>
      <c r="C15" s="2" t="str">
        <f t="shared" si="0"/>
        <v>N-Administrative services activities</v>
      </c>
      <c r="D15" s="6">
        <v>0.04</v>
      </c>
      <c r="E15" s="4">
        <v>16</v>
      </c>
      <c r="F15" s="4">
        <v>13.518045146903324</v>
      </c>
      <c r="G15" s="3">
        <v>3</v>
      </c>
      <c r="H15" s="4">
        <f t="shared" si="1"/>
        <v>16.018045146903322</v>
      </c>
      <c r="I15" s="7">
        <v>1.8045146903323372E-2</v>
      </c>
      <c r="J15" s="8">
        <v>4.5</v>
      </c>
    </row>
    <row r="16" spans="1:10">
      <c r="A16" s="2" t="s">
        <v>37</v>
      </c>
      <c r="B16" s="2" t="s">
        <v>38</v>
      </c>
      <c r="C16" s="2" t="str">
        <f t="shared" si="0"/>
        <v>O-Public administration and defence</v>
      </c>
      <c r="D16" s="6">
        <v>2.3E-2</v>
      </c>
      <c r="E16" s="4">
        <v>10</v>
      </c>
      <c r="F16" s="4">
        <v>8.5082921564955463</v>
      </c>
      <c r="G16" s="3">
        <v>2</v>
      </c>
      <c r="H16" s="4">
        <f t="shared" si="1"/>
        <v>10.008292156495546</v>
      </c>
      <c r="I16" s="7">
        <v>8.2921564955467097E-3</v>
      </c>
      <c r="J16" s="8">
        <v>3.8</v>
      </c>
    </row>
    <row r="17" spans="1:10">
      <c r="A17" s="2" t="s">
        <v>39</v>
      </c>
      <c r="B17" s="2" t="s">
        <v>40</v>
      </c>
      <c r="C17" s="2" t="str">
        <f t="shared" si="0"/>
        <v>P-Education</v>
      </c>
      <c r="D17" s="6">
        <v>4.8000000000000001E-2</v>
      </c>
      <c r="E17" s="4">
        <v>12</v>
      </c>
      <c r="F17" s="4">
        <v>9.0219318705531926</v>
      </c>
      <c r="G17" s="3">
        <v>3.5000000000000004</v>
      </c>
      <c r="H17" s="4">
        <f t="shared" si="1"/>
        <v>12.021931870553193</v>
      </c>
      <c r="I17" s="7">
        <v>2.1931870553193011E-2</v>
      </c>
      <c r="J17" s="8">
        <v>5</v>
      </c>
    </row>
    <row r="18" spans="1:10">
      <c r="A18" s="2" t="s">
        <v>41</v>
      </c>
      <c r="B18" s="2" t="s">
        <v>42</v>
      </c>
      <c r="C18" s="2" t="str">
        <f t="shared" si="0"/>
        <v>Q-Health and social work</v>
      </c>
      <c r="D18" s="6">
        <v>5.8000000000000003E-2</v>
      </c>
      <c r="E18" s="4">
        <v>13</v>
      </c>
      <c r="F18" s="4">
        <v>9.0256220515902488</v>
      </c>
      <c r="G18" s="3">
        <v>4.5</v>
      </c>
      <c r="H18" s="4">
        <f t="shared" si="1"/>
        <v>13.025622051590249</v>
      </c>
      <c r="I18" s="7">
        <v>2.5622051590248107E-2</v>
      </c>
      <c r="J18" s="8">
        <v>5.5</v>
      </c>
    </row>
    <row r="19" spans="1:10">
      <c r="A19" s="2" t="s">
        <v>43</v>
      </c>
      <c r="B19" s="2" t="s">
        <v>44</v>
      </c>
      <c r="C19" s="2" t="str">
        <f t="shared" si="0"/>
        <v>R-Arts, entertainment and recreation</v>
      </c>
      <c r="D19" s="6">
        <v>5.5E-2</v>
      </c>
      <c r="E19" s="4">
        <v>15</v>
      </c>
      <c r="F19" s="4">
        <v>12.524188448750099</v>
      </c>
      <c r="G19" s="3">
        <v>3</v>
      </c>
      <c r="H19" s="4">
        <f t="shared" si="1"/>
        <v>15.024188448750099</v>
      </c>
      <c r="I19" s="7">
        <v>2.4188448750098512E-2</v>
      </c>
      <c r="J19" s="8">
        <v>5.4</v>
      </c>
    </row>
    <row r="20" spans="1:10">
      <c r="A20" s="2" t="s">
        <v>45</v>
      </c>
      <c r="B20" s="2" t="s">
        <v>46</v>
      </c>
      <c r="C20" s="2" t="str">
        <f t="shared" si="0"/>
        <v>S-Other service activities</v>
      </c>
      <c r="D20" s="6">
        <v>3.5999999999999997E-2</v>
      </c>
      <c r="E20" s="4">
        <v>16</v>
      </c>
      <c r="F20" s="4">
        <v>13.520659191257325</v>
      </c>
      <c r="G20" s="3">
        <v>3</v>
      </c>
      <c r="H20" s="4">
        <f t="shared" si="1"/>
        <v>16.020659191257327</v>
      </c>
      <c r="I20" s="7">
        <v>2.0659191257325293E-2</v>
      </c>
      <c r="J20" s="8">
        <v>3.9</v>
      </c>
    </row>
    <row r="21" spans="1:10">
      <c r="A21" s="2" t="s">
        <v>47</v>
      </c>
      <c r="B21" s="2" t="s">
        <v>48</v>
      </c>
      <c r="C21" s="2" t="str">
        <f t="shared" si="0"/>
        <v>T-Activities of households</v>
      </c>
      <c r="D21" s="6">
        <v>2.7E-2</v>
      </c>
      <c r="E21" s="4">
        <v>20</v>
      </c>
      <c r="F21" s="4">
        <v>19.008682665782594</v>
      </c>
      <c r="G21" s="3">
        <v>1.5</v>
      </c>
      <c r="H21" s="4">
        <f t="shared" si="1"/>
        <v>20.008682665782594</v>
      </c>
      <c r="I21" s="7">
        <v>8.6826657825942455E-3</v>
      </c>
      <c r="J21" s="8">
        <v>4.2</v>
      </c>
    </row>
    <row r="22" spans="1:10">
      <c r="A22" s="2" t="s">
        <v>49</v>
      </c>
      <c r="B22" s="2" t="s">
        <v>50</v>
      </c>
      <c r="C22" s="2" t="str">
        <f t="shared" si="0"/>
        <v>U-Activities of organizations and bodies</v>
      </c>
      <c r="D22" s="6">
        <v>1.4E-2</v>
      </c>
      <c r="E22" s="4">
        <v>12</v>
      </c>
      <c r="F22" s="4">
        <v>10.014987438702166</v>
      </c>
      <c r="G22" s="3">
        <v>2.5</v>
      </c>
      <c r="H22" s="4">
        <f t="shared" si="1"/>
        <v>12.014987438702166</v>
      </c>
      <c r="I22" s="7">
        <v>1.498743870216579E-2</v>
      </c>
      <c r="J22" s="8">
        <v>2.2999999999999998</v>
      </c>
    </row>
    <row r="23" spans="1:10">
      <c r="A23" s="2" t="s">
        <v>53</v>
      </c>
      <c r="B23" s="2" t="s">
        <v>51</v>
      </c>
      <c r="C23" s="2" t="str">
        <f t="shared" si="0"/>
        <v>Z-Other</v>
      </c>
      <c r="D23" s="5">
        <v>1.2E-2</v>
      </c>
      <c r="E23" s="4">
        <v>14.000000000000002</v>
      </c>
      <c r="F23" s="4">
        <v>11.004952756026185</v>
      </c>
      <c r="G23" s="3">
        <v>3.5000000000000004</v>
      </c>
      <c r="H23" s="4">
        <f t="shared" si="1"/>
        <v>14.004952756026185</v>
      </c>
      <c r="I23" s="7">
        <v>4.9527560261841685E-3</v>
      </c>
      <c r="J23" s="8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Avijit Nandy</dc:creator>
  <cp:lastModifiedBy>Avijit Nandy</cp:lastModifiedBy>
  <dcterms:created xsi:type="dcterms:W3CDTF">2026-02-13T12:48:04Z</dcterms:created>
  <dcterms:modified xsi:type="dcterms:W3CDTF">2026-02-14T08:11:18Z</dcterms:modified>
</cp:coreProperties>
</file>